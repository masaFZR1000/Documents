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30619\Documents\"/>
    </mc:Choice>
  </mc:AlternateContent>
  <xr:revisionPtr revIDLastSave="0" documentId="8_{C7065F89-D125-4464-B7A0-031075B0076A}" xr6:coauthVersionLast="47" xr6:coauthVersionMax="47" xr10:uidLastSave="{00000000-0000-0000-0000-000000000000}"/>
  <bookViews>
    <workbookView xWindow="0" yWindow="270" windowWidth="38430" windowHeight="15930" xr2:uid="{4A926111-BD6D-48E2-9044-F1E5465C9C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7" i="1" l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L4" i="1"/>
  <c r="D2" i="1"/>
  <c r="B2" i="1"/>
  <c r="L2" i="1" l="1"/>
  <c r="C2" i="1" s="1"/>
  <c r="E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山本 雅一</author>
  </authors>
  <commentList>
    <comment ref="C3" authorId="0" shapeId="0" xr:uid="{47C186ED-030C-4E98-8FCC-7012F2621126}">
      <text>
        <r>
          <rPr>
            <b/>
            <sz val="9"/>
            <color indexed="81"/>
            <rFont val="MS P ゴシック"/>
            <family val="3"/>
            <charset val="128"/>
          </rPr>
          <t>山本 雅一:</t>
        </r>
        <r>
          <rPr>
            <sz val="9"/>
            <color indexed="81"/>
            <rFont val="MS P ゴシック"/>
            <family val="3"/>
            <charset val="128"/>
          </rPr>
          <t xml:space="preserve">
何らかの日付を入れる事。期限越えが背景ピンク色になる</t>
        </r>
      </text>
    </comment>
  </commentList>
</comments>
</file>

<file path=xl/sharedStrings.xml><?xml version="1.0" encoding="utf-8"?>
<sst xmlns="http://schemas.openxmlformats.org/spreadsheetml/2006/main" count="122" uniqueCount="67">
  <si>
    <t>総件数</t>
    <rPh sb="0" eb="1">
      <t>ソウ</t>
    </rPh>
    <rPh sb="1" eb="3">
      <t>ケンスウ</t>
    </rPh>
    <phoneticPr fontId="2"/>
  </si>
  <si>
    <t>本日までの期限件数</t>
    <rPh sb="0" eb="2">
      <t>ホンジツ</t>
    </rPh>
    <rPh sb="5" eb="7">
      <t>キゲン</t>
    </rPh>
    <rPh sb="7" eb="9">
      <t>ケンスウ</t>
    </rPh>
    <phoneticPr fontId="2"/>
  </si>
  <si>
    <t>完了件数</t>
    <rPh sb="0" eb="2">
      <t>カンリョウ</t>
    </rPh>
    <rPh sb="2" eb="4">
      <t>ケンスウ</t>
    </rPh>
    <phoneticPr fontId="2"/>
  </si>
  <si>
    <t>未完了件数</t>
    <rPh sb="0" eb="3">
      <t>ミカンリョウ</t>
    </rPh>
    <rPh sb="3" eb="5">
      <t>ケンスウ</t>
    </rPh>
    <phoneticPr fontId="2"/>
  </si>
  <si>
    <t>確認日調整</t>
    <rPh sb="0" eb="2">
      <t>カクニン</t>
    </rPh>
    <rPh sb="2" eb="3">
      <t>ビ</t>
    </rPh>
    <rPh sb="3" eb="5">
      <t>チョウセイ</t>
    </rPh>
    <phoneticPr fontId="2"/>
  </si>
  <si>
    <t>項目番号</t>
    <rPh sb="0" eb="2">
      <t>コウモク</t>
    </rPh>
    <rPh sb="2" eb="4">
      <t>バンゴウ</t>
    </rPh>
    <phoneticPr fontId="2"/>
  </si>
  <si>
    <t>実施日</t>
    <rPh sb="0" eb="2">
      <t>ジッシ</t>
    </rPh>
    <rPh sb="2" eb="3">
      <t>ビ</t>
    </rPh>
    <phoneticPr fontId="2"/>
  </si>
  <si>
    <t>予定日</t>
    <rPh sb="0" eb="3">
      <t>ヨテイビ</t>
    </rPh>
    <phoneticPr fontId="2"/>
  </si>
  <si>
    <t>完了日</t>
    <rPh sb="0" eb="3">
      <t>カンリョウビ</t>
    </rPh>
    <phoneticPr fontId="2"/>
  </si>
  <si>
    <t>担当者</t>
    <rPh sb="0" eb="3">
      <t>タントウシャ</t>
    </rPh>
    <phoneticPr fontId="2"/>
  </si>
  <si>
    <t>担当G</t>
    <rPh sb="0" eb="2">
      <t>タントウ</t>
    </rPh>
    <phoneticPr fontId="2"/>
  </si>
  <si>
    <t>指摘事項・実施事項</t>
    <rPh sb="0" eb="4">
      <t>シテキジコウ</t>
    </rPh>
    <rPh sb="5" eb="9">
      <t>ジッシジコウ</t>
    </rPh>
    <phoneticPr fontId="2"/>
  </si>
  <si>
    <t>ユーザー名</t>
    <rPh sb="4" eb="5">
      <t>メイ</t>
    </rPh>
    <phoneticPr fontId="2"/>
  </si>
  <si>
    <t>ＤＲ区別</t>
    <rPh sb="2" eb="4">
      <t>クベツ</t>
    </rPh>
    <phoneticPr fontId="2"/>
  </si>
  <si>
    <t>製品名</t>
    <rPh sb="0" eb="3">
      <t>セイヒンメイ</t>
    </rPh>
    <phoneticPr fontId="2"/>
  </si>
  <si>
    <t>吉田海斗</t>
    <rPh sb="0" eb="2">
      <t>ヨシダ</t>
    </rPh>
    <rPh sb="2" eb="4">
      <t>カイト</t>
    </rPh>
    <phoneticPr fontId="2"/>
  </si>
  <si>
    <t>設計２G</t>
    <rPh sb="0" eb="2">
      <t>セッケイ</t>
    </rPh>
    <phoneticPr fontId="2"/>
  </si>
  <si>
    <t>バックボード＋マイコン＋カードプラ　見積取得</t>
    <phoneticPr fontId="2"/>
  </si>
  <si>
    <t>見積DR</t>
    <rPh sb="0" eb="2">
      <t>ミツモリ</t>
    </rPh>
    <phoneticPr fontId="2"/>
  </si>
  <si>
    <t>カードエッジコネクタ＋コネコネ基板　見積取得</t>
    <rPh sb="15" eb="17">
      <t>キバン</t>
    </rPh>
    <rPh sb="18" eb="22">
      <t>ミツモリシュトク</t>
    </rPh>
    <phoneticPr fontId="3"/>
  </si>
  <si>
    <t>QRコードリーダ　見積取得</t>
    <rPh sb="9" eb="13">
      <t>ミツモリシュトク</t>
    </rPh>
    <phoneticPr fontId="3"/>
  </si>
  <si>
    <t>SE藤原</t>
    <rPh sb="2" eb="4">
      <t>フジワラ</t>
    </rPh>
    <phoneticPr fontId="2"/>
  </si>
  <si>
    <t>営業・SE</t>
    <rPh sb="0" eb="2">
      <t>エイギョウ</t>
    </rPh>
    <phoneticPr fontId="2"/>
  </si>
  <si>
    <t>●お客様に申送り事項             
前回検収で使用したものと異なるDUTボード/サンプルをご支給いただく場合
        検証で使用するファイル一式を準備いただく   
        ・正常動作するもの      
        ・意図したエラーが発生するもの
        ※詳細は別途打合せにて    
　➡5月中旬までに確認します。（現時点では引合段階のため）
　➡6月中旬までに確認します。（現時点では引合段階のため）
　➡支給品に関してサンプル以外は７月３０日時点で
    工務　村上さんにて受け取り済み。
　　サンプルに関しては調整中です。（９月１６日までに受け取り予定）
　➡サンプルを8/18受け取り完了</t>
    <phoneticPr fontId="3"/>
  </si>
  <si>
    <t>八木</t>
    <rPh sb="0" eb="2">
      <t>ヤギ</t>
    </rPh>
    <phoneticPr fontId="2"/>
  </si>
  <si>
    <t>設計１G</t>
    <rPh sb="0" eb="2">
      <t>セッケイ</t>
    </rPh>
    <phoneticPr fontId="2"/>
  </si>
  <si>
    <t>制御フロー詳細化</t>
    <phoneticPr fontId="2"/>
  </si>
  <si>
    <t>受注時DR</t>
    <rPh sb="0" eb="3">
      <t>ジュチュウジ</t>
    </rPh>
    <phoneticPr fontId="2"/>
  </si>
  <si>
    <t>大杉</t>
    <rPh sb="0" eb="2">
      <t>オオスギ</t>
    </rPh>
    <phoneticPr fontId="2"/>
  </si>
  <si>
    <t>センサー信号整理</t>
    <phoneticPr fontId="2"/>
  </si>
  <si>
    <t>大杉・八木・清水</t>
    <phoneticPr fontId="2"/>
  </si>
  <si>
    <t>安全仕様反映</t>
    <phoneticPr fontId="2"/>
  </si>
  <si>
    <t>八木・清水</t>
    <rPh sb="0" eb="2">
      <t>ヤギ</t>
    </rPh>
    <rPh sb="3" eb="5">
      <t>シミズ</t>
    </rPh>
    <phoneticPr fontId="2"/>
  </si>
  <si>
    <t>I/O設計</t>
    <phoneticPr fontId="2"/>
  </si>
  <si>
    <t>北村・大杉・八木・清水</t>
    <rPh sb="0" eb="2">
      <t>キタムラ</t>
    </rPh>
    <phoneticPr fontId="2"/>
  </si>
  <si>
    <t>運用確認</t>
    <rPh sb="0" eb="4">
      <t>ウンヨウカクニン</t>
    </rPh>
    <phoneticPr fontId="2"/>
  </si>
  <si>
    <t>工務・村上</t>
    <rPh sb="0" eb="2">
      <t>コウム</t>
    </rPh>
    <rPh sb="3" eb="5">
      <t>ムラカミ</t>
    </rPh>
    <phoneticPr fontId="2"/>
  </si>
  <si>
    <t>工務部</t>
    <rPh sb="0" eb="3">
      <t>コウムブ</t>
    </rPh>
    <phoneticPr fontId="2"/>
  </si>
  <si>
    <t>工程見直し</t>
    <phoneticPr fontId="2"/>
  </si>
  <si>
    <t>大杉・八木</t>
    <phoneticPr fontId="2"/>
  </si>
  <si>
    <t>安全仕様（PL対応）のリスクアセスメント実施</t>
    <phoneticPr fontId="2"/>
  </si>
  <si>
    <t>ETC山本</t>
    <rPh sb="3" eb="5">
      <t>ヤマモト</t>
    </rPh>
    <phoneticPr fontId="2"/>
  </si>
  <si>
    <t>開発設計G</t>
    <rPh sb="0" eb="4">
      <t>カイハツセッケイ</t>
    </rPh>
    <phoneticPr fontId="2"/>
  </si>
  <si>
    <t>アプリ仕様書の更新および再見積</t>
    <phoneticPr fontId="2"/>
  </si>
  <si>
    <t>再起動遅延信号のI/O設計反映</t>
    <phoneticPr fontId="2"/>
  </si>
  <si>
    <t>ラック運用について客先とすり合わせ</t>
    <phoneticPr fontId="2"/>
  </si>
  <si>
    <t>温度評価（50℃基準）の実測確認</t>
    <phoneticPr fontId="2"/>
  </si>
  <si>
    <t>各担当で詳細仕様の詰め（電気・構造・アプリ）</t>
    <phoneticPr fontId="2"/>
  </si>
  <si>
    <t>藤本</t>
    <rPh sb="0" eb="2">
      <t>フジモト</t>
    </rPh>
    <phoneticPr fontId="2"/>
  </si>
  <si>
    <t>見積作成</t>
    <rPh sb="0" eb="4">
      <t>ミツモリサクセイ</t>
    </rPh>
    <phoneticPr fontId="2"/>
  </si>
  <si>
    <t>藤本, 徳永, 日下</t>
    <phoneticPr fontId="2"/>
  </si>
  <si>
    <t>見積仕様書に、高電圧ケーブル保護、チャンバー槽内の絶縁対策、ユーザー作業時の安全条件を反映する</t>
    <phoneticPr fontId="2"/>
  </si>
  <si>
    <t>見積拡大審査会</t>
    <rPh sb="0" eb="2">
      <t>ミツモリ</t>
    </rPh>
    <rPh sb="2" eb="7">
      <t>カクダイシンサカイ</t>
    </rPh>
    <phoneticPr fontId="2"/>
  </si>
  <si>
    <t>徳永, 日下</t>
    <phoneticPr fontId="2"/>
  </si>
  <si>
    <t>高電圧電源グランドまたはマイナスと、チャンバー側対象部位を接続するリターン配線の構成を検討する</t>
    <phoneticPr fontId="2"/>
  </si>
  <si>
    <t>サンプル取り出し前の放電棒使用、電圧確認、耐電手袋・絶縁工具使用の手順を仕様書へ記載する</t>
    <phoneticPr fontId="2"/>
  </si>
  <si>
    <t>高電圧リレー、コネクタ、CC回路の事前評価内容と、必要な予備品・代替案を整理する</t>
    <phoneticPr fontId="2"/>
  </si>
  <si>
    <t>USB等の通信経路、アース、リターン経路に関する故障リスクを確認する</t>
    <phoneticPr fontId="2"/>
  </si>
  <si>
    <t>岡山</t>
    <phoneticPr fontId="2"/>
  </si>
  <si>
    <t>見積価格の目安を3,100万〜3,200万円程度として、客先への提示方針を整理する</t>
    <phoneticPr fontId="2"/>
  </si>
  <si>
    <t>ER／取引審査の要否を確認し、未完了の場合は上海側へ明確に伝える</t>
    <phoneticPr fontId="2"/>
  </si>
  <si>
    <t>対応必要件数</t>
    <rPh sb="0" eb="6">
      <t>タイオウヒツヨウケンスウ</t>
    </rPh>
    <phoneticPr fontId="2"/>
  </si>
  <si>
    <t>対応完了数</t>
    <rPh sb="0" eb="2">
      <t>タイオウ</t>
    </rPh>
    <rPh sb="2" eb="4">
      <t>カンリョウ</t>
    </rPh>
    <rPh sb="4" eb="5">
      <t>スウ</t>
    </rPh>
    <phoneticPr fontId="2"/>
  </si>
  <si>
    <t>未完了率</t>
    <rPh sb="0" eb="4">
      <t>ミカンリョウリツ</t>
    </rPh>
    <phoneticPr fontId="2"/>
  </si>
  <si>
    <t>対応G</t>
    <rPh sb="0" eb="2">
      <t>タイオウ</t>
    </rPh>
    <phoneticPr fontId="2"/>
  </si>
  <si>
    <t>設計３G</t>
    <rPh sb="0" eb="2">
      <t>セッケイ</t>
    </rPh>
    <phoneticPr fontId="2"/>
  </si>
  <si>
    <t>設計４G</t>
    <rPh sb="0" eb="2">
      <t>セッケイ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</si>
</sst>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6"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22" fontId="0" fillId="0" borderId="0" xfId="0" applyNumberFormat="1" applyAlignment="1">
      <alignment vertical="center" wrapText="1"/>
    </xf>
    <xf numFmtId="0" fontId="0" fillId="3" borderId="0" xfId="0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56" fontId="0" fillId="0" borderId="0" xfId="0" applyNumberFormat="1">
      <alignment vertical="center"/>
    </xf>
    <xf numFmtId="5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1" fillId="0" borderId="0" xfId="1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4" borderId="0" xfId="0" applyFill="1">
      <alignment vertical="center"/>
    </xf>
    <xf numFmtId="0" fontId="0" fillId="4" borderId="0" xfId="0" applyFill="1" applyAlignment="1">
      <alignment vertical="center" wrapText="1"/>
    </xf>
    <xf numFmtId="0" fontId="1" fillId="0" borderId="0" xfId="1" applyAlignment="1">
      <alignment horizontal="left" vertical="top"/>
    </xf>
    <xf numFmtId="0" fontId="0" fillId="0" borderId="0" xfId="0" quotePrefix="1" applyAlignment="1">
      <alignment vertical="center" wrapText="1"/>
    </xf>
    <xf numFmtId="176" fontId="0" fillId="0" borderId="1" xfId="0" applyNumberFormat="1" applyBorder="1">
      <alignment vertical="center"/>
    </xf>
    <xf numFmtId="0" fontId="0" fillId="5" borderId="1" xfId="0" applyFill="1" applyBorder="1" applyAlignment="1">
      <alignment horizontal="center" vertical="center"/>
    </xf>
    <xf numFmtId="176" fontId="0" fillId="5" borderId="1" xfId="0" applyNumberFormat="1" applyFill="1" applyBorder="1">
      <alignment vertical="center"/>
    </xf>
    <xf numFmtId="0" fontId="0" fillId="5" borderId="1" xfId="0" applyFill="1" applyBorder="1">
      <alignment vertical="center"/>
    </xf>
  </cellXfs>
  <cellStyles count="2">
    <cellStyle name="ハイパーリンク" xfId="1" builtinId="8"/>
    <cellStyle name="標準" xfId="0" builtinId="0"/>
  </cellStyles>
  <dxfs count="8"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2C7EC-7593-4527-9200-0A4F7C694292}">
  <dimension ref="A1:L927"/>
  <sheetViews>
    <sheetView tabSelected="1" workbookViewId="0">
      <pane xSplit="6" ySplit="3" topLeftCell="G15" activePane="bottomRight" state="frozen"/>
      <selection pane="topRight" activeCell="G1" sqref="G1"/>
      <selection pane="bottomLeft" activeCell="A4" sqref="A4"/>
      <selection pane="bottomRight" activeCell="G924" sqref="G924"/>
    </sheetView>
  </sheetViews>
  <sheetFormatPr defaultRowHeight="18.75"/>
  <cols>
    <col min="3" max="3" width="19.25" bestFit="1" customWidth="1"/>
    <col min="4" max="4" width="15.375" customWidth="1"/>
    <col min="5" max="5" width="12.125" customWidth="1"/>
    <col min="7" max="7" width="76.25" customWidth="1"/>
  </cols>
  <sheetData>
    <row r="1" spans="1:12">
      <c r="B1" s="1" t="s">
        <v>0</v>
      </c>
      <c r="C1" s="1" t="s">
        <v>1</v>
      </c>
      <c r="D1" s="2" t="s">
        <v>2</v>
      </c>
      <c r="E1" s="1" t="s">
        <v>3</v>
      </c>
      <c r="F1" s="3"/>
      <c r="G1" s="4"/>
      <c r="K1" s="5" t="s">
        <v>4</v>
      </c>
      <c r="L1" s="5">
        <v>0</v>
      </c>
    </row>
    <row r="2" spans="1:12">
      <c r="B2" s="6">
        <f>COUNTA(B4:B503)</f>
        <v>24</v>
      </c>
      <c r="C2" s="6">
        <f ca="1">$L$2</f>
        <v>23</v>
      </c>
      <c r="D2" s="6">
        <f>COUNTA(D4:D382)</f>
        <v>23</v>
      </c>
      <c r="E2" s="7">
        <f ca="1">C2-D2</f>
        <v>0</v>
      </c>
      <c r="G2" s="8"/>
      <c r="L2" s="6">
        <f ca="1">SUM(L4:L414)</f>
        <v>23</v>
      </c>
    </row>
    <row r="3" spans="1:12">
      <c r="A3" s="1" t="s">
        <v>5</v>
      </c>
      <c r="B3" s="1" t="s">
        <v>6</v>
      </c>
      <c r="C3" s="1" t="s">
        <v>7</v>
      </c>
      <c r="D3" s="2" t="s">
        <v>8</v>
      </c>
      <c r="E3" s="1" t="s">
        <v>9</v>
      </c>
      <c r="F3" s="1" t="s">
        <v>10</v>
      </c>
      <c r="G3" s="9" t="s">
        <v>11</v>
      </c>
      <c r="H3" s="1" t="s">
        <v>12</v>
      </c>
      <c r="I3" s="1" t="s">
        <v>13</v>
      </c>
      <c r="J3" s="1" t="s">
        <v>14</v>
      </c>
    </row>
    <row r="4" spans="1:12">
      <c r="A4">
        <v>1</v>
      </c>
      <c r="B4" s="10">
        <v>46113</v>
      </c>
      <c r="C4" s="11">
        <v>46142</v>
      </c>
      <c r="D4" s="12">
        <v>46115</v>
      </c>
      <c r="E4" s="12" t="s">
        <v>15</v>
      </c>
      <c r="F4" s="12" t="s">
        <v>16</v>
      </c>
      <c r="G4" s="8" t="s">
        <v>17</v>
      </c>
      <c r="H4" s="13"/>
      <c r="I4" t="s">
        <v>18</v>
      </c>
      <c r="J4" s="14"/>
      <c r="L4">
        <f t="shared" ref="L4:L27" ca="1" si="0">IF(B4&lt;&gt;"",IF(C4&lt;NOW()-$L$1,1,0),0)</f>
        <v>1</v>
      </c>
    </row>
    <row r="5" spans="1:12">
      <c r="A5">
        <f>A4+1</f>
        <v>2</v>
      </c>
      <c r="B5" s="10">
        <v>46113</v>
      </c>
      <c r="C5" s="11">
        <v>46142</v>
      </c>
      <c r="D5" s="12">
        <v>46115</v>
      </c>
      <c r="E5" s="12" t="s">
        <v>15</v>
      </c>
      <c r="F5" s="12" t="s">
        <v>16</v>
      </c>
      <c r="G5" s="15" t="s">
        <v>19</v>
      </c>
      <c r="H5" s="13"/>
      <c r="I5" t="s">
        <v>18</v>
      </c>
      <c r="J5" s="14"/>
      <c r="L5">
        <f t="shared" ca="1" si="0"/>
        <v>1</v>
      </c>
    </row>
    <row r="6" spans="1:12">
      <c r="A6">
        <f t="shared" ref="A6:A27" si="1">A5+1</f>
        <v>3</v>
      </c>
      <c r="B6" s="10">
        <v>46113</v>
      </c>
      <c r="C6" s="11">
        <v>46142</v>
      </c>
      <c r="D6" s="12">
        <v>46115</v>
      </c>
      <c r="E6" s="12" t="s">
        <v>15</v>
      </c>
      <c r="F6" s="12" t="s">
        <v>16</v>
      </c>
      <c r="G6" s="15" t="s">
        <v>20</v>
      </c>
      <c r="H6" s="13"/>
      <c r="I6" t="s">
        <v>18</v>
      </c>
      <c r="J6" s="14"/>
      <c r="L6">
        <f t="shared" ca="1" si="0"/>
        <v>1</v>
      </c>
    </row>
    <row r="7" spans="1:12" ht="20.25" customHeight="1">
      <c r="A7">
        <f t="shared" si="1"/>
        <v>4</v>
      </c>
      <c r="B7" s="10">
        <v>46113</v>
      </c>
      <c r="C7" s="11">
        <v>46281</v>
      </c>
      <c r="D7" s="12">
        <v>46252</v>
      </c>
      <c r="E7" s="12" t="s">
        <v>21</v>
      </c>
      <c r="F7" s="12" t="s">
        <v>22</v>
      </c>
      <c r="G7" s="16" t="s">
        <v>23</v>
      </c>
      <c r="H7" s="13"/>
      <c r="I7" t="s">
        <v>18</v>
      </c>
      <c r="J7" s="14"/>
      <c r="L7">
        <f t="shared" ca="1" si="0"/>
        <v>1</v>
      </c>
    </row>
    <row r="8" spans="1:12">
      <c r="A8">
        <f t="shared" si="1"/>
        <v>5</v>
      </c>
      <c r="B8" s="10">
        <v>46121</v>
      </c>
      <c r="C8" s="11">
        <v>46172</v>
      </c>
      <c r="D8" s="12">
        <v>46203</v>
      </c>
      <c r="E8" s="12" t="s">
        <v>24</v>
      </c>
      <c r="F8" s="12" t="s">
        <v>25</v>
      </c>
      <c r="G8" s="8" t="s">
        <v>26</v>
      </c>
      <c r="H8" s="17"/>
      <c r="I8" t="s">
        <v>27</v>
      </c>
      <c r="J8" s="14"/>
      <c r="L8">
        <f t="shared" ca="1" si="0"/>
        <v>1</v>
      </c>
    </row>
    <row r="9" spans="1:12">
      <c r="A9">
        <f t="shared" si="1"/>
        <v>6</v>
      </c>
      <c r="B9" s="10">
        <v>46121</v>
      </c>
      <c r="C9" s="11">
        <v>46142</v>
      </c>
      <c r="D9" s="12">
        <v>46140</v>
      </c>
      <c r="E9" s="12" t="s">
        <v>28</v>
      </c>
      <c r="F9" s="12" t="s">
        <v>25</v>
      </c>
      <c r="G9" s="8" t="s">
        <v>29</v>
      </c>
      <c r="H9" s="17"/>
      <c r="I9" t="s">
        <v>27</v>
      </c>
      <c r="J9" s="14"/>
      <c r="L9">
        <f t="shared" ca="1" si="0"/>
        <v>1</v>
      </c>
    </row>
    <row r="10" spans="1:12">
      <c r="A10">
        <f t="shared" si="1"/>
        <v>7</v>
      </c>
      <c r="B10" s="10">
        <v>46121</v>
      </c>
      <c r="C10" s="11">
        <v>46172</v>
      </c>
      <c r="D10" s="12">
        <v>46203</v>
      </c>
      <c r="E10" s="12" t="s">
        <v>30</v>
      </c>
      <c r="F10" s="12" t="s">
        <v>25</v>
      </c>
      <c r="G10" s="8" t="s">
        <v>31</v>
      </c>
      <c r="H10" s="17"/>
      <c r="I10" t="s">
        <v>27</v>
      </c>
      <c r="J10" s="14"/>
      <c r="L10">
        <f t="shared" ca="1" si="0"/>
        <v>1</v>
      </c>
    </row>
    <row r="11" spans="1:12">
      <c r="A11">
        <f t="shared" si="1"/>
        <v>8</v>
      </c>
      <c r="B11" s="10">
        <v>46121</v>
      </c>
      <c r="C11" s="11">
        <v>46142</v>
      </c>
      <c r="D11" s="12">
        <v>46140</v>
      </c>
      <c r="E11" s="12" t="s">
        <v>32</v>
      </c>
      <c r="F11" s="12" t="s">
        <v>25</v>
      </c>
      <c r="G11" s="18" t="s">
        <v>33</v>
      </c>
      <c r="H11" s="17"/>
      <c r="I11" t="s">
        <v>27</v>
      </c>
      <c r="J11" s="14"/>
      <c r="L11">
        <f t="shared" ca="1" si="0"/>
        <v>1</v>
      </c>
    </row>
    <row r="12" spans="1:12">
      <c r="A12">
        <f t="shared" si="1"/>
        <v>9</v>
      </c>
      <c r="B12" s="10">
        <v>46121</v>
      </c>
      <c r="C12" s="11">
        <v>46142</v>
      </c>
      <c r="D12" s="12">
        <v>46163</v>
      </c>
      <c r="E12" s="12" t="s">
        <v>34</v>
      </c>
      <c r="F12" s="12" t="s">
        <v>25</v>
      </c>
      <c r="G12" s="8" t="s">
        <v>35</v>
      </c>
      <c r="H12" s="17"/>
      <c r="I12" t="s">
        <v>27</v>
      </c>
      <c r="J12" s="14"/>
      <c r="L12">
        <f t="shared" ca="1" si="0"/>
        <v>1</v>
      </c>
    </row>
    <row r="13" spans="1:12">
      <c r="A13">
        <f t="shared" si="1"/>
        <v>10</v>
      </c>
      <c r="B13" s="10">
        <v>46121</v>
      </c>
      <c r="C13" s="11">
        <v>46142</v>
      </c>
      <c r="D13" s="12">
        <v>46142</v>
      </c>
      <c r="E13" s="12" t="s">
        <v>36</v>
      </c>
      <c r="F13" s="12" t="s">
        <v>37</v>
      </c>
      <c r="G13" s="8" t="s">
        <v>38</v>
      </c>
      <c r="H13" s="17"/>
      <c r="I13" t="s">
        <v>27</v>
      </c>
      <c r="J13" s="14"/>
      <c r="L13">
        <f t="shared" ca="1" si="0"/>
        <v>1</v>
      </c>
    </row>
    <row r="14" spans="1:12">
      <c r="A14">
        <f t="shared" si="1"/>
        <v>11</v>
      </c>
      <c r="B14" s="10">
        <v>46129</v>
      </c>
      <c r="C14" s="11">
        <v>46142</v>
      </c>
      <c r="D14" s="12">
        <v>46163</v>
      </c>
      <c r="E14" s="12" t="s">
        <v>39</v>
      </c>
      <c r="F14" s="12" t="s">
        <v>25</v>
      </c>
      <c r="G14" s="8" t="s">
        <v>40</v>
      </c>
      <c r="H14" s="17"/>
      <c r="I14" t="s">
        <v>27</v>
      </c>
      <c r="J14" s="14"/>
      <c r="L14">
        <f t="shared" ca="1" si="0"/>
        <v>1</v>
      </c>
    </row>
    <row r="15" spans="1:12">
      <c r="A15">
        <f t="shared" si="1"/>
        <v>12</v>
      </c>
      <c r="B15" s="10">
        <v>46129</v>
      </c>
      <c r="C15" s="11">
        <v>46142</v>
      </c>
      <c r="D15" s="12">
        <v>46150</v>
      </c>
      <c r="E15" s="12" t="s">
        <v>41</v>
      </c>
      <c r="F15" s="12" t="s">
        <v>42</v>
      </c>
      <c r="G15" s="8" t="s">
        <v>43</v>
      </c>
      <c r="H15" s="17"/>
      <c r="I15" t="s">
        <v>27</v>
      </c>
      <c r="J15" s="14"/>
      <c r="L15">
        <f t="shared" ca="1" si="0"/>
        <v>1</v>
      </c>
    </row>
    <row r="16" spans="1:12">
      <c r="A16">
        <f t="shared" si="1"/>
        <v>13</v>
      </c>
      <c r="B16" s="10">
        <v>46129</v>
      </c>
      <c r="C16" s="11">
        <v>46142</v>
      </c>
      <c r="D16" s="12">
        <v>46163</v>
      </c>
      <c r="E16" s="12" t="s">
        <v>24</v>
      </c>
      <c r="F16" s="12" t="s">
        <v>25</v>
      </c>
      <c r="G16" s="8" t="s">
        <v>44</v>
      </c>
      <c r="H16" s="17"/>
      <c r="I16" t="s">
        <v>27</v>
      </c>
      <c r="J16" s="14"/>
      <c r="L16">
        <f t="shared" ca="1" si="0"/>
        <v>1</v>
      </c>
    </row>
    <row r="17" spans="1:12">
      <c r="A17">
        <f t="shared" si="1"/>
        <v>14</v>
      </c>
      <c r="B17" s="10">
        <v>46129</v>
      </c>
      <c r="C17" s="11">
        <v>46142</v>
      </c>
      <c r="D17" s="12">
        <v>46163</v>
      </c>
      <c r="E17" s="12" t="s">
        <v>28</v>
      </c>
      <c r="F17" s="12" t="s">
        <v>25</v>
      </c>
      <c r="G17" s="8" t="s">
        <v>45</v>
      </c>
      <c r="H17" s="17"/>
      <c r="I17" t="s">
        <v>27</v>
      </c>
      <c r="J17" s="14"/>
      <c r="L17">
        <f t="shared" ca="1" si="0"/>
        <v>1</v>
      </c>
    </row>
    <row r="18" spans="1:12">
      <c r="A18">
        <f t="shared" si="1"/>
        <v>15</v>
      </c>
      <c r="B18" s="10">
        <v>46129</v>
      </c>
      <c r="C18" s="11">
        <v>46325</v>
      </c>
      <c r="D18" s="12"/>
      <c r="E18" s="12" t="s">
        <v>28</v>
      </c>
      <c r="F18" s="12" t="s">
        <v>25</v>
      </c>
      <c r="G18" s="8" t="s">
        <v>46</v>
      </c>
      <c r="H18" s="17"/>
      <c r="I18" t="s">
        <v>27</v>
      </c>
      <c r="J18" s="14"/>
      <c r="L18">
        <f t="shared" ca="1" si="0"/>
        <v>0</v>
      </c>
    </row>
    <row r="19" spans="1:12">
      <c r="A19">
        <f t="shared" si="1"/>
        <v>16</v>
      </c>
      <c r="B19" s="10">
        <v>46129</v>
      </c>
      <c r="C19" s="11">
        <v>46142</v>
      </c>
      <c r="D19" s="12">
        <v>46163</v>
      </c>
      <c r="E19" s="12" t="s">
        <v>30</v>
      </c>
      <c r="F19" s="12" t="s">
        <v>25</v>
      </c>
      <c r="G19" s="8" t="s">
        <v>47</v>
      </c>
      <c r="H19" s="17"/>
      <c r="I19" t="s">
        <v>27</v>
      </c>
      <c r="J19" s="14"/>
      <c r="L19">
        <f t="shared" ca="1" si="0"/>
        <v>1</v>
      </c>
    </row>
    <row r="20" spans="1:12">
      <c r="A20">
        <f t="shared" si="1"/>
        <v>17</v>
      </c>
      <c r="B20" s="10">
        <v>46170</v>
      </c>
      <c r="C20" s="11">
        <v>46178</v>
      </c>
      <c r="D20" s="12">
        <v>46182</v>
      </c>
      <c r="E20" s="12" t="s">
        <v>48</v>
      </c>
      <c r="F20" s="12" t="s">
        <v>16</v>
      </c>
      <c r="G20" s="8" t="s">
        <v>49</v>
      </c>
      <c r="H20" s="13"/>
      <c r="I20" t="s">
        <v>18</v>
      </c>
      <c r="J20" s="14"/>
      <c r="L20">
        <f t="shared" ca="1" si="0"/>
        <v>1</v>
      </c>
    </row>
    <row r="21" spans="1:12" ht="37.5">
      <c r="A21">
        <f t="shared" si="1"/>
        <v>18</v>
      </c>
      <c r="B21" s="10">
        <v>46182</v>
      </c>
      <c r="C21" s="11">
        <v>46192</v>
      </c>
      <c r="D21" s="12">
        <v>46182</v>
      </c>
      <c r="E21" s="12" t="s">
        <v>50</v>
      </c>
      <c r="F21" s="12" t="s">
        <v>16</v>
      </c>
      <c r="G21" s="8" t="s">
        <v>51</v>
      </c>
      <c r="H21" s="13"/>
      <c r="I21" t="s">
        <v>52</v>
      </c>
      <c r="J21" s="14"/>
      <c r="L21">
        <f t="shared" ca="1" si="0"/>
        <v>1</v>
      </c>
    </row>
    <row r="22" spans="1:12" ht="37.5">
      <c r="A22">
        <f t="shared" si="1"/>
        <v>19</v>
      </c>
      <c r="B22" s="10">
        <v>46182</v>
      </c>
      <c r="C22" s="11">
        <v>46192</v>
      </c>
      <c r="D22" s="12">
        <v>46182</v>
      </c>
      <c r="E22" s="12" t="s">
        <v>53</v>
      </c>
      <c r="F22" s="12" t="s">
        <v>42</v>
      </c>
      <c r="G22" s="8" t="s">
        <v>54</v>
      </c>
      <c r="H22" s="13"/>
      <c r="I22" t="s">
        <v>52</v>
      </c>
      <c r="J22" s="14"/>
      <c r="L22">
        <f t="shared" ca="1" si="0"/>
        <v>1</v>
      </c>
    </row>
    <row r="23" spans="1:12" ht="37.5">
      <c r="A23">
        <f t="shared" si="1"/>
        <v>20</v>
      </c>
      <c r="B23" s="10">
        <v>46182</v>
      </c>
      <c r="C23" s="11">
        <v>46192</v>
      </c>
      <c r="D23" s="12">
        <v>46182</v>
      </c>
      <c r="E23" s="12" t="s">
        <v>50</v>
      </c>
      <c r="F23" s="12" t="s">
        <v>16</v>
      </c>
      <c r="G23" s="8" t="s">
        <v>55</v>
      </c>
      <c r="H23" s="13"/>
      <c r="I23" t="s">
        <v>52</v>
      </c>
      <c r="J23" s="14"/>
      <c r="L23">
        <f ca="1">IF(B23&lt;&gt;"",IF(C23&lt;NOW()-$L$1,1,0),0)</f>
        <v>1</v>
      </c>
    </row>
    <row r="24" spans="1:12">
      <c r="A24">
        <f t="shared" si="1"/>
        <v>21</v>
      </c>
      <c r="B24" s="10">
        <v>46182</v>
      </c>
      <c r="C24" s="11">
        <v>46206</v>
      </c>
      <c r="D24" s="12">
        <v>46182</v>
      </c>
      <c r="E24" s="12" t="s">
        <v>53</v>
      </c>
      <c r="F24" s="12" t="s">
        <v>42</v>
      </c>
      <c r="G24" s="8" t="s">
        <v>56</v>
      </c>
      <c r="H24" s="13"/>
      <c r="I24" t="s">
        <v>52</v>
      </c>
      <c r="J24" s="14"/>
      <c r="L24">
        <f t="shared" ca="1" si="0"/>
        <v>1</v>
      </c>
    </row>
    <row r="25" spans="1:12">
      <c r="A25">
        <f t="shared" si="1"/>
        <v>22</v>
      </c>
      <c r="B25" s="10">
        <v>46182</v>
      </c>
      <c r="C25" s="11">
        <v>46206</v>
      </c>
      <c r="D25" s="12">
        <v>46182</v>
      </c>
      <c r="E25" s="12" t="s">
        <v>53</v>
      </c>
      <c r="F25" s="12" t="s">
        <v>42</v>
      </c>
      <c r="G25" s="8" t="s">
        <v>57</v>
      </c>
      <c r="H25" s="13"/>
      <c r="I25" t="s">
        <v>52</v>
      </c>
      <c r="J25" s="14"/>
      <c r="L25">
        <f t="shared" ca="1" si="0"/>
        <v>1</v>
      </c>
    </row>
    <row r="26" spans="1:12">
      <c r="A26">
        <f t="shared" si="1"/>
        <v>23</v>
      </c>
      <c r="B26" s="10">
        <v>46182</v>
      </c>
      <c r="C26" s="11">
        <v>46192</v>
      </c>
      <c r="D26" s="12">
        <v>46182</v>
      </c>
      <c r="E26" s="12" t="s">
        <v>58</v>
      </c>
      <c r="F26" s="12" t="s">
        <v>22</v>
      </c>
      <c r="G26" s="8" t="s">
        <v>59</v>
      </c>
      <c r="H26" s="13"/>
      <c r="I26" t="s">
        <v>52</v>
      </c>
      <c r="J26" s="14"/>
      <c r="L26">
        <f t="shared" ca="1" si="0"/>
        <v>1</v>
      </c>
    </row>
    <row r="27" spans="1:12">
      <c r="A27">
        <f t="shared" si="1"/>
        <v>24</v>
      </c>
      <c r="B27" s="10">
        <v>46182</v>
      </c>
      <c r="C27" s="11">
        <v>46199</v>
      </c>
      <c r="D27" s="12">
        <v>46182</v>
      </c>
      <c r="E27" s="12" t="s">
        <v>58</v>
      </c>
      <c r="F27" s="12" t="s">
        <v>22</v>
      </c>
      <c r="G27" s="8" t="s">
        <v>60</v>
      </c>
      <c r="H27" s="13"/>
      <c r="I27" t="s">
        <v>52</v>
      </c>
      <c r="J27" s="14"/>
      <c r="L27">
        <f t="shared" ca="1" si="0"/>
        <v>1</v>
      </c>
    </row>
    <row r="29" spans="1:12" hidden="1"/>
    <row r="30" spans="1:12" hidden="1"/>
    <row r="31" spans="1:12" hidden="1"/>
    <row r="32" spans="1:1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spans="3:6" hidden="1"/>
    <row r="914" spans="3:6" hidden="1"/>
    <row r="915" spans="3:6" hidden="1"/>
    <row r="916" spans="3:6" hidden="1"/>
    <row r="917" spans="3:6" hidden="1"/>
    <row r="918" spans="3:6" hidden="1"/>
    <row r="920" spans="3:6">
      <c r="C920" s="20" t="s">
        <v>61</v>
      </c>
      <c r="D920" s="21" t="s">
        <v>62</v>
      </c>
      <c r="E920" s="22" t="s">
        <v>63</v>
      </c>
      <c r="F920" t="s">
        <v>64</v>
      </c>
    </row>
    <row r="921" spans="3:6">
      <c r="C921" s="6"/>
      <c r="D921" s="19"/>
      <c r="E921" s="7"/>
      <c r="F921" t="s">
        <v>25</v>
      </c>
    </row>
    <row r="922" spans="3:6">
      <c r="C922" s="6"/>
      <c r="D922" s="19"/>
      <c r="E922" s="7"/>
      <c r="F922" t="s">
        <v>16</v>
      </c>
    </row>
    <row r="923" spans="3:6">
      <c r="C923" s="6"/>
      <c r="D923" s="19"/>
      <c r="E923" s="7"/>
      <c r="F923" t="s">
        <v>65</v>
      </c>
    </row>
    <row r="924" spans="3:6">
      <c r="C924" s="6"/>
      <c r="D924" s="19"/>
      <c r="E924" s="7"/>
      <c r="F924" t="s">
        <v>66</v>
      </c>
    </row>
    <row r="925" spans="3:6">
      <c r="C925" s="6"/>
      <c r="D925" s="19"/>
      <c r="E925" s="7"/>
      <c r="F925" t="s">
        <v>42</v>
      </c>
    </row>
    <row r="926" spans="3:6">
      <c r="C926" s="6"/>
      <c r="D926" s="19"/>
      <c r="E926" s="7"/>
      <c r="F926" t="s">
        <v>22</v>
      </c>
    </row>
    <row r="927" spans="3:6">
      <c r="C927" s="6"/>
      <c r="D927" s="19"/>
      <c r="E927" s="7"/>
      <c r="F927" t="s">
        <v>37</v>
      </c>
    </row>
  </sheetData>
  <phoneticPr fontId="2"/>
  <conditionalFormatting sqref="C3">
    <cfRule type="timePeriod" dxfId="7" priority="8" timePeriod="last7Days">
      <formula>AND(TODAY()-FLOOR(C3,1)&lt;=6,FLOOR(C3,1)&lt;=TODAY())</formula>
    </cfRule>
  </conditionalFormatting>
  <conditionalFormatting sqref="C4:C17">
    <cfRule type="containsBlanks" dxfId="6" priority="6">
      <formula>LEN(TRIM(C4))=0</formula>
    </cfRule>
    <cfRule type="cellIs" dxfId="5" priority="7" operator="lessThan">
      <formula>NOW()-$L$1</formula>
    </cfRule>
  </conditionalFormatting>
  <conditionalFormatting sqref="C19:C27">
    <cfRule type="containsBlanks" dxfId="4" priority="3">
      <formula>LEN(TRIM(C19))=0</formula>
    </cfRule>
    <cfRule type="cellIs" dxfId="3" priority="4" operator="lessThan">
      <formula>NOW()-$L$1</formula>
    </cfRule>
  </conditionalFormatting>
  <conditionalFormatting sqref="D4:D17">
    <cfRule type="notContainsBlanks" dxfId="2" priority="5">
      <formula>LEN(TRIM(D4))&gt;0</formula>
    </cfRule>
  </conditionalFormatting>
  <conditionalFormatting sqref="D19:D27">
    <cfRule type="notContainsBlanks" dxfId="1" priority="2">
      <formula>LEN(TRIM(D19))&gt;0</formula>
    </cfRule>
  </conditionalFormatting>
  <conditionalFormatting sqref="C920:C927">
    <cfRule type="timePeriod" dxfId="0" priority="1" timePeriod="last7Days">
      <formula>AND(TODAY()-FLOOR(C920,1)&lt;=6,FLOOR(C920,1)&lt;=TODAY())</formula>
    </cfRule>
  </conditionalFormatting>
  <dataValidations count="1">
    <dataValidation type="list" allowBlank="1" showInputMessage="1" showErrorMessage="1" sqref="F4:F27" xr:uid="{62BAD9F1-6C98-4AC5-9FC6-4E06AAA29387}">
      <formula1>$F$921:$F$927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山本 雅一</dc:creator>
  <cp:lastModifiedBy>山本 雅一</cp:lastModifiedBy>
  <dcterms:created xsi:type="dcterms:W3CDTF">2026-10-15T23:53:51Z</dcterms:created>
  <dcterms:modified xsi:type="dcterms:W3CDTF">2026-10-15T23:57:15Z</dcterms:modified>
</cp:coreProperties>
</file>